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_SCORING\2025_01_10_Конкурс_в_КБТУ\2025_01_15_выборка_описание\"/>
    </mc:Choice>
  </mc:AlternateContent>
  <xr:revisionPtr revIDLastSave="0" documentId="8_{DBADA775-3AC4-4BB9-B8FA-6E290FF5DC6D}" xr6:coauthVersionLast="37" xr6:coauthVersionMax="37" xr10:uidLastSave="{00000000-0000-0000-0000-000000000000}"/>
  <bookViews>
    <workbookView xWindow="0" yWindow="0" windowWidth="28800" windowHeight="10305" xr2:uid="{6A1A3FEC-39E2-468A-8976-CCAB5C7B8191}"/>
  </bookViews>
  <sheets>
    <sheet name="Лист1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2" i="1" l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4" i="1"/>
</calcChain>
</file>

<file path=xl/sharedStrings.xml><?xml version="1.0" encoding="utf-8"?>
<sst xmlns="http://schemas.openxmlformats.org/spreadsheetml/2006/main" count="326" uniqueCount="326">
  <si>
    <t>GB_flag</t>
  </si>
  <si>
    <t>Флаг хороший/ плохой (таргет)</t>
  </si>
  <si>
    <t>total_amount_kzt</t>
  </si>
  <si>
    <t>Сумма выдачи займа в тенге</t>
  </si>
  <si>
    <t>overdueinstalmentcount_po_subektu</t>
  </si>
  <si>
    <t>Макс. кол-во дней просрочки за все время по всем текущим займам на момент выдачи</t>
  </si>
  <si>
    <t>term</t>
  </si>
  <si>
    <t>was_canceled</t>
  </si>
  <si>
    <t>Списывался у Физ.лица ли какой-либо займ до моменты выдачи текущего займа</t>
  </si>
  <si>
    <t>GENDER</t>
  </si>
  <si>
    <t>Пол заёмщика</t>
  </si>
  <si>
    <t>CLASSIFICATION</t>
  </si>
  <si>
    <t>Классификация Физ лица</t>
  </si>
  <si>
    <t>RESIDENCY</t>
  </si>
  <si>
    <t>Гражданство</t>
  </si>
  <si>
    <t>EDUCATION</t>
  </si>
  <si>
    <t>Образование</t>
  </si>
  <si>
    <t>MARITALSTATUS</t>
  </si>
  <si>
    <t>Семейное положение</t>
  </si>
  <si>
    <t>NEGATIVESTATUS</t>
  </si>
  <si>
    <t>Негативный статус</t>
  </si>
  <si>
    <t>PROFESSION</t>
  </si>
  <si>
    <t xml:space="preserve">Название профессии	</t>
  </si>
  <si>
    <t>ECONOMYACTIVITYGROUP</t>
  </si>
  <si>
    <t>Отрасль экономики</t>
  </si>
  <si>
    <t>EMPLOYMENTNATURE</t>
  </si>
  <si>
    <t>Вид деятельности</t>
  </si>
  <si>
    <t>SALARY</t>
  </si>
  <si>
    <t xml:space="preserve">Заработная плата по данным БДКИ	</t>
  </si>
  <si>
    <t>DEPENDANTS_LT18</t>
  </si>
  <si>
    <t>Количество иждивенцев до 18 лет</t>
  </si>
  <si>
    <t>DEPENDANTS_GT18</t>
  </si>
  <si>
    <t>Количество иждивенцев старше 18 лет</t>
  </si>
  <si>
    <t>AGE</t>
  </si>
  <si>
    <t>Число полных лет</t>
  </si>
  <si>
    <t>NUM_CONTRACT_BVU</t>
  </si>
  <si>
    <t>NUM_CONTRACT_MFO</t>
  </si>
  <si>
    <t>NUM_CONTRACT_PDL</t>
  </si>
  <si>
    <t>NUM_CONTRACT_OTHERS</t>
  </si>
  <si>
    <t>NUM_COLLATERAL</t>
  </si>
  <si>
    <t>NUM_USAGES</t>
  </si>
  <si>
    <t>CNT_3D</t>
  </si>
  <si>
    <t>CNT_1M</t>
  </si>
  <si>
    <t>CNT_3M</t>
  </si>
  <si>
    <t>CNT_6M</t>
  </si>
  <si>
    <t>MAX_PEAKS_OVERDUECOUNT_LAST_2Y</t>
  </si>
  <si>
    <t>MEAN_PEAKS_OVERDUECOUNT_LAST_2Y</t>
  </si>
  <si>
    <t>MEAN_SIG_PEAKS_OVERDUECOUNT_LAST_2Y</t>
  </si>
  <si>
    <t>SUM_SIG_PEAKS_OVERDUECOUNT_LAST_2Y</t>
  </si>
  <si>
    <t>MONTH_OVERDUE_C0</t>
  </si>
  <si>
    <t>Максимальное количество просрочек по всем его кредитам за 1 месяц до расчетной даты</t>
  </si>
  <si>
    <t>MONTH_OVERDUE_C1</t>
  </si>
  <si>
    <t>Максимальное количество просрочек по всем его кредитам за 2 месяца до расчетной даты</t>
  </si>
  <si>
    <t>MONTH_OVERDUE_C2</t>
  </si>
  <si>
    <t>Максимальное количество просрочек по всем его кредитам за 3 месяца до расчетной даты</t>
  </si>
  <si>
    <t>MONTH_OVERDUE_C3</t>
  </si>
  <si>
    <t>Максимальное количество просрочек по всем его кредитам за 4 месяца до расчетной даты</t>
  </si>
  <si>
    <t>MONTH_OVERDUE_C4</t>
  </si>
  <si>
    <t>Максимальное количество просрочек по всем его кредитам за 5 месяцев до расчетной даты</t>
  </si>
  <si>
    <t>MONTH_OVERDUE_C5</t>
  </si>
  <si>
    <t>Максимальное количество просрочек по всем его кредитам за 6 месяцев до расчетной даты</t>
  </si>
  <si>
    <t>MONTH_OVERDUE_C6</t>
  </si>
  <si>
    <t>Максимальное количество просрочек по всем его кредитам за 7 месяцев до расчетной даты</t>
  </si>
  <si>
    <t>MONTH_OVERDUE_C7</t>
  </si>
  <si>
    <t>Максимальное количество просрочек по всем его кредитам за 8 месяцев до расчетной даты</t>
  </si>
  <si>
    <t>MONTH_OVERDUE_C8</t>
  </si>
  <si>
    <t>Максимальное количество просрочек по всем его кредитам за 9 месяцев до расчетной даты</t>
  </si>
  <si>
    <t>MONTH_OVERDUE_C9</t>
  </si>
  <si>
    <t>Максимальное количество просрочек по всем его кредитам за 10 месяцев до расчетной даты</t>
  </si>
  <si>
    <t>MONTH_OVERDUE_C10</t>
  </si>
  <si>
    <t>Максимальное количество просрочек по всем его кредитам за 11 месяцев до расчетной даты</t>
  </si>
  <si>
    <t>MONTH_OVERDUE_C11</t>
  </si>
  <si>
    <t>Максимальное количество просрочек по всем его кредитам за 12 месяцев до расчетной даты</t>
  </si>
  <si>
    <t>MONTH_OVERDUE_C12</t>
  </si>
  <si>
    <t>Максимальное количество просрочек по всем его кредитам за 13 месяцев до расчетной даты</t>
  </si>
  <si>
    <t>MONTH_OVERDUE_C13</t>
  </si>
  <si>
    <t>Максимальное количество просрочек по всем его кредитам за 14 месяцев до расчетной даты</t>
  </si>
  <si>
    <t>MONTH_OVERDUE_C14</t>
  </si>
  <si>
    <t>Максимальное количество просрочек по всем его кредитам за 15 месяцев до расчетной даты</t>
  </si>
  <si>
    <t>MONTH_OVERDUE_C15</t>
  </si>
  <si>
    <t>Максимальное количество просрочек по всем его кредитам за 16 месяцев до расчетной даты</t>
  </si>
  <si>
    <t>MONTH_OVERDUE_C16</t>
  </si>
  <si>
    <t>Максимальное количество просрочек по всем его кредитам за 17 месяцев до расчетной даты</t>
  </si>
  <si>
    <t>MONTH_OVERDUE_C17</t>
  </si>
  <si>
    <t>Максимальное количество просрочек по всем его кредитам за 18 месяцев до расчетной даты</t>
  </si>
  <si>
    <t>MONTH_OVERDUE_C18</t>
  </si>
  <si>
    <t>Максимальное количество просрочек по всем его кредитам за 19 месяцев до расчетной даты</t>
  </si>
  <si>
    <t>MONTH_OVERDUE_C19</t>
  </si>
  <si>
    <t>Максимальное количество просрочек по всем его кредитам за 20 месяцев до расчетной даты</t>
  </si>
  <si>
    <t>MONTH_OVERDUE_C20</t>
  </si>
  <si>
    <t>Максимальное количество просрочек по всем его кредитам за 21 месяцев до расчетной даты</t>
  </si>
  <si>
    <t>MONTH_OVERDUE_C21</t>
  </si>
  <si>
    <t>Максимальное количество просрочек по всем его кредитам за 22 месяцев до расчетной даты</t>
  </si>
  <si>
    <t>MONTH_OVERDUE_C22</t>
  </si>
  <si>
    <t>Максимальное количество просрочек по всем его кредитам за 23 месяцев до расчетной даты</t>
  </si>
  <si>
    <t>MONTH_OVERDUE_C23</t>
  </si>
  <si>
    <t>Максимальное количество просрочек по всем его кредитам за 24 месяцев до расчетной даты</t>
  </si>
  <si>
    <t>MONTH_OVERDUE_C24</t>
  </si>
  <si>
    <t>Максимальное количество просрочек по всем его кредитам за 25 месяцев до расчетной даты</t>
  </si>
  <si>
    <t>MONTH_OVERDUE_C25</t>
  </si>
  <si>
    <t>Максимальное количество просрочек по всем его кредитам за 26 месяцев до расчетной даты</t>
  </si>
  <si>
    <t>MONTH_OVERDUE_C26</t>
  </si>
  <si>
    <t>Максимальное количество просрочек по всем его кредитам за 27 месяцев до расчетной даты</t>
  </si>
  <si>
    <t>MONTH_OVERDUE_C27</t>
  </si>
  <si>
    <t>Максимальное количество просрочек по всем его кредитам за 28 месяцев до расчетной даты</t>
  </si>
  <si>
    <t>MONTH_OVERDUE_C28</t>
  </si>
  <si>
    <t>Максимальное количество просрочек по всем его кредитам за 29 месяцев до расчетной даты</t>
  </si>
  <si>
    <t>MONTH_OVERDUE_C29</t>
  </si>
  <si>
    <t>Максимальное количество просрочек по всем его кредитам за 30 месяцев до расчетной даты</t>
  </si>
  <si>
    <t>MONTH_OVERDUE_C30</t>
  </si>
  <si>
    <t>Максимальное количество просрочек по всем его кредитам за 31 месяцев до расчетной даты</t>
  </si>
  <si>
    <t>MONTH_OVERDUE_C31</t>
  </si>
  <si>
    <t>Максимальное количество просрочек по всем его кредитам за 32 месяцев до расчетной даты</t>
  </si>
  <si>
    <t>MONTH_OVERDUE_C32</t>
  </si>
  <si>
    <t>Максимальное количество просрочек по всем его кредитам за 33 месяцев до расчетной даты</t>
  </si>
  <si>
    <t>MONTH_OVERDUE_C33</t>
  </si>
  <si>
    <t>Максимальное количество просрочек по всем его кредитам за 34 месяцев до расчетной даты</t>
  </si>
  <si>
    <t>MONTH_OVERDUE_C34</t>
  </si>
  <si>
    <t>Максимальное количество просрочек по всем его кредитам за 35 месяцев до расчетной даты</t>
  </si>
  <si>
    <t>MONTH_OVERDUE_C35</t>
  </si>
  <si>
    <t>Максимальное количество просрочек по всем его кредитам за 36 месяцев до расчетной даты</t>
  </si>
  <si>
    <t>MONTH_OVERDUE_C36</t>
  </si>
  <si>
    <t>Максимальное количество просрочек по всем его кредитам за 37 месяцев до расчетной даты</t>
  </si>
  <si>
    <t>MONTH_OVERDUE_C37</t>
  </si>
  <si>
    <t>Максимальное количество просрочек по всем его кредитам за 38 месяцев до расчетной даты</t>
  </si>
  <si>
    <t>MONTH_OVERDUE_C38</t>
  </si>
  <si>
    <t>Максимальное количество просрочек по всем его кредитам за 39 месяцев до расчетной даты</t>
  </si>
  <si>
    <t>MONTH_OVERDUE_C39</t>
  </si>
  <si>
    <t>Максимальное количество просрочек по всем его кредитам за 40 месяцев до расчетной даты</t>
  </si>
  <si>
    <t>MONTH_OVERDUE_C40</t>
  </si>
  <si>
    <t>Максимальное количество просрочек по всем его кредитам за 41 месяцев до расчетной даты</t>
  </si>
  <si>
    <t>MONTH_OVERDUE_C41</t>
  </si>
  <si>
    <t>Максимальное количество просрочек по всем его кредитам за 42 месяцев до расчетной даты</t>
  </si>
  <si>
    <t>MONTH_OVERDUE_C42</t>
  </si>
  <si>
    <t>Максимальное количество просрочек по всем его кредитам за 43 месяцев до расчетной даты</t>
  </si>
  <si>
    <t>MONTH_OVERDUE_C43</t>
  </si>
  <si>
    <t>Максимальное количество просрочек по всем его кредитам за 44 месяцев до расчетной даты</t>
  </si>
  <si>
    <t>MONTH_OVERDUE_C44</t>
  </si>
  <si>
    <t>Максимальное количество просрочек по всем его кредитам за 45 месяцев до расчетной даты</t>
  </si>
  <si>
    <t>MONTH_OVERDUE_C45</t>
  </si>
  <si>
    <t>Максимальное количество просрочек по всем его кредитам за 46 месяцев до расчетной даты</t>
  </si>
  <si>
    <t>MONTH_OVERDUE_C46</t>
  </si>
  <si>
    <t>Максимальное количество просрочек по всем его кредитам за 47 месяцев до расчетной даты</t>
  </si>
  <si>
    <t>MONTH_OVERDUE_C47</t>
  </si>
  <si>
    <t>Максимальное количество просрочек по всем его кредитам за 48 месяцев до расчетной даты</t>
  </si>
  <si>
    <t>MONTH_OVERDUE_C48</t>
  </si>
  <si>
    <t>Максимальное количество просрочек по всем его кредитам за 49 месяцев до расчетной даты</t>
  </si>
  <si>
    <t>MONTH_OVERDUE_C49</t>
  </si>
  <si>
    <t>Максимальное количество просрочек по всем его кредитам за 50 месяцев до расчетной даты</t>
  </si>
  <si>
    <t>MONTH_OVERDUE_C50</t>
  </si>
  <si>
    <t>Максимальное количество просрочек по всем его кредитам за 51 месяцев до расчетной даты</t>
  </si>
  <si>
    <t>MONTH_OVERDUE_C51</t>
  </si>
  <si>
    <t>Максимальное количество просрочек по всем его кредитам за 52 месяцев до расчетной даты</t>
  </si>
  <si>
    <t>MONTH_OVERDUE_C52</t>
  </si>
  <si>
    <t>Максимальное количество просрочек по всем его кредитам за 53 месяцев до расчетной даты</t>
  </si>
  <si>
    <t>MONTH_OVERDUE_C53</t>
  </si>
  <si>
    <t>Максимальное количество просрочек по всем его кредитам за 54 месяцев до расчетной даты</t>
  </si>
  <si>
    <t>MONTH_OVERDUE_C54</t>
  </si>
  <si>
    <t>Максимальное количество просрочек по всем его кредитам за 55 месяцев до расчетной даты</t>
  </si>
  <si>
    <t>MONTH_OVERDUE_C55</t>
  </si>
  <si>
    <t>Максимальное количество просрочек по всем его кредитам за 56 месяцев до расчетной даты</t>
  </si>
  <si>
    <t>MONTH_OVERDUE_C56</t>
  </si>
  <si>
    <t>Максимальное количество просрочек по всем его кредитам за 57 месяцев до расчетной даты</t>
  </si>
  <si>
    <t>MONTH_OVERDUE_C57</t>
  </si>
  <si>
    <t>Максимальное количество просрочек по всем его кредитам за 58 месяцев до расчетной даты</t>
  </si>
  <si>
    <t>MONTH_OVERDUE_C58</t>
  </si>
  <si>
    <t>Максимальное количество просрочек по всем его кредитам за 59 месяцев до расчетной даты</t>
  </si>
  <si>
    <t>MONTH_OVERDUE_C59</t>
  </si>
  <si>
    <t>Максимальное количество просрочек по всем его кредитам за 60 месяцев до расчетной даты</t>
  </si>
  <si>
    <t>MONTH_OVERDUE_A0</t>
  </si>
  <si>
    <t>Максимальная сумма просрочек по всем его кредитам за 1 месяц до расчетной даты</t>
  </si>
  <si>
    <t>MONTH_OVERDUE_A1</t>
  </si>
  <si>
    <t>Максимальная сумма просрочек по всем его кредитам за 2 месяца до расчетной даты</t>
  </si>
  <si>
    <t>MONTH_OVERDUE_A2</t>
  </si>
  <si>
    <t>Максимальная сумма просрочек по всем его кредитам за 3 месяца до расчетной даты</t>
  </si>
  <si>
    <t>MONTH_OVERDUE_A3</t>
  </si>
  <si>
    <t>Максимальная сумма просрочек по всем его кредитам за 4 месяца до расчетной даты</t>
  </si>
  <si>
    <t>MONTH_OVERDUE_A4</t>
  </si>
  <si>
    <t>Максимальная сумма просрочек по всем его кредитам за 5 месяцев до расчетной даты</t>
  </si>
  <si>
    <t>MONTH_OVERDUE_A5</t>
  </si>
  <si>
    <t>Максимальная сумма просрочек по всем его кредитам за 6 месяцев до расчетной даты</t>
  </si>
  <si>
    <t>MONTH_OVERDUE_A6</t>
  </si>
  <si>
    <t>Максимальная сумма просрочек по всем его кредитам за 7 месяцев до расчетной даты</t>
  </si>
  <si>
    <t>MONTH_OVERDUE_A7</t>
  </si>
  <si>
    <t>Максимальная сумма просрочек по всем его кредитам за 8 месяцев до расчетной даты</t>
  </si>
  <si>
    <t>MONTH_OVERDUE_A8</t>
  </si>
  <si>
    <t>Максимальная сумма просрочек по всем его кредитам за 9 месяцев до расчетной даты</t>
  </si>
  <si>
    <t>MONTH_OVERDUE_A9</t>
  </si>
  <si>
    <t>Максимальная сумма просрочек по всем его кредитам за 10 месяцев до расчетной даты</t>
  </si>
  <si>
    <t>MONTH_OVERDUE_A10</t>
  </si>
  <si>
    <t>Максимальная сумма просрочек по всем его кредитам за 11 месяцев до расчетной даты</t>
  </si>
  <si>
    <t>MONTH_OVERDUE_A11</t>
  </si>
  <si>
    <t>Максимальная сумма просрочек по всем его кредитам за 12 месяцев до расчетной даты</t>
  </si>
  <si>
    <t>MONTH_OVERDUE_A12</t>
  </si>
  <si>
    <t>Максимальная сумма просрочек по всем его кредитам за 13 месяцев до расчетной даты</t>
  </si>
  <si>
    <t>MONTH_OVERDUE_A13</t>
  </si>
  <si>
    <t>Максимальная сумма просрочек по всем его кредитам за 14 месяцев до расчетной даты</t>
  </si>
  <si>
    <t>MONTH_OVERDUE_A14</t>
  </si>
  <si>
    <t>Максимальная сумма просрочек по всем его кредитам за 15 месяцев до расчетной даты</t>
  </si>
  <si>
    <t>MONTH_OVERDUE_A15</t>
  </si>
  <si>
    <t>Максимальная сумма просрочек по всем его кредитам за 16 месяцев до расчетной даты</t>
  </si>
  <si>
    <t>MONTH_OVERDUE_A16</t>
  </si>
  <si>
    <t>Максимальная сумма просрочек по всем его кредитам за 17 месяцев до расчетной даты</t>
  </si>
  <si>
    <t>MONTH_OVERDUE_A17</t>
  </si>
  <si>
    <t>Максимальная сумма просрочек по всем его кредитам за 18 месяцев до расчетной даты</t>
  </si>
  <si>
    <t>MONTH_OVERDUE_A18</t>
  </si>
  <si>
    <t>Максимальная сумма просрочек по всем его кредитам за 19 месяцев до расчетной даты</t>
  </si>
  <si>
    <t>MONTH_OVERDUE_A19</t>
  </si>
  <si>
    <t>Максимальная сумма просрочек по всем его кредитам за 20 месяцев до расчетной даты</t>
  </si>
  <si>
    <t>MONTH_OVERDUE_A20</t>
  </si>
  <si>
    <t>Максимальная сумма просрочек по всем его кредитам за 21 месяцев до расчетной даты</t>
  </si>
  <si>
    <t>MONTH_OVERDUE_A21</t>
  </si>
  <si>
    <t>Максимальная сумма просрочек по всем его кредитам за 22 месяцев до расчетной даты</t>
  </si>
  <si>
    <t>MONTH_OVERDUE_A22</t>
  </si>
  <si>
    <t>Максимальная сумма просрочек по всем его кредитам за 23 месяцев до расчетной даты</t>
  </si>
  <si>
    <t>MONTH_OVERDUE_A23</t>
  </si>
  <si>
    <t>Максимальная сумма просрочек по всем его кредитам за 24 месяцев до расчетной даты</t>
  </si>
  <si>
    <t>MONTH_OVERDUE_A24</t>
  </si>
  <si>
    <t>Максимальная сумма просрочек по всем его кредитам за 25 месяцев до расчетной даты</t>
  </si>
  <si>
    <t>MONTH_OVERDUE_A25</t>
  </si>
  <si>
    <t>Максимальная сумма просрочек по всем его кредитам за 26 месяцев до расчетной даты</t>
  </si>
  <si>
    <t>MONTH_OVERDUE_A26</t>
  </si>
  <si>
    <t>Максимальная сумма просрочек по всем его кредитам за 27 месяцев до расчетной даты</t>
  </si>
  <si>
    <t>MONTH_OVERDUE_A27</t>
  </si>
  <si>
    <t>Максимальная сумма просрочек по всем его кредитам за 28 месяцев до расчетной даты</t>
  </si>
  <si>
    <t>MONTH_OVERDUE_A28</t>
  </si>
  <si>
    <t>Максимальная сумма просрочек по всем его кредитам за 29 месяцев до расчетной даты</t>
  </si>
  <si>
    <t>MONTH_OVERDUE_A29</t>
  </si>
  <si>
    <t>Максимальная сумма просрочек по всем его кредитам за 30 месяцев до расчетной даты</t>
  </si>
  <si>
    <t>MONTH_OVERDUE_A30</t>
  </si>
  <si>
    <t>Максимальная сумма просрочек по всем его кредитам за 31 месяцев до расчетной даты</t>
  </si>
  <si>
    <t>MONTH_OVERDUE_A31</t>
  </si>
  <si>
    <t>Максимальная сумма просрочек по всем его кредитам за 32 месяцев до расчетной даты</t>
  </si>
  <si>
    <t>MONTH_OVERDUE_A32</t>
  </si>
  <si>
    <t>Максимальная сумма просрочек по всем его кредитам за 33 месяцев до расчетной даты</t>
  </si>
  <si>
    <t>MONTH_OVERDUE_A33</t>
  </si>
  <si>
    <t>Максимальная сумма просрочек по всем его кредитам за 34 месяцев до расчетной даты</t>
  </si>
  <si>
    <t>MONTH_OVERDUE_A34</t>
  </si>
  <si>
    <t>Максимальная сумма просрочек по всем его кредитам за 35 месяцев до расчетной даты</t>
  </si>
  <si>
    <t>MONTH_OVERDUE_A35</t>
  </si>
  <si>
    <t>Максимальная сумма просрочек по всем его кредитам за 36 месяцев до расчетной даты</t>
  </si>
  <si>
    <t>MONTH_OVERDUE_A36</t>
  </si>
  <si>
    <t>Максимальная сумма просрочек по всем его кредитам за 37 месяцев до расчетной даты</t>
  </si>
  <si>
    <t>MONTH_OVERDUE_A37</t>
  </si>
  <si>
    <t>Максимальная сумма просрочек по всем его кредитам за 38 месяцев до расчетной даты</t>
  </si>
  <si>
    <t>MONTH_OVERDUE_A38</t>
  </si>
  <si>
    <t>Максимальная сумма просрочек по всем его кредитам за 39 месяцев до расчетной даты</t>
  </si>
  <si>
    <t>MONTH_OVERDUE_A39</t>
  </si>
  <si>
    <t>Максимальная сумма просрочек по всем его кредитам за 40 месяцев до расчетной даты</t>
  </si>
  <si>
    <t>MONTH_OVERDUE_A40</t>
  </si>
  <si>
    <t>Максимальная сумма просрочек по всем его кредитам за 41 месяцев до расчетной даты</t>
  </si>
  <si>
    <t>MONTH_OVERDUE_A41</t>
  </si>
  <si>
    <t>Максимальная сумма просрочек по всем его кредитам за 42 месяцев до расчетной даты</t>
  </si>
  <si>
    <t>MONTH_OVERDUE_A42</t>
  </si>
  <si>
    <t>Максимальная сумма просрочек по всем его кредитам за 43 месяцев до расчетной даты</t>
  </si>
  <si>
    <t>MONTH_OVERDUE_A43</t>
  </si>
  <si>
    <t>Максимальная сумма просрочек по всем его кредитам за 44 месяцев до расчетной даты</t>
  </si>
  <si>
    <t>MONTH_OVERDUE_A44</t>
  </si>
  <si>
    <t>Максимальная сумма просрочек по всем его кредитам за 45 месяцев до расчетной даты</t>
  </si>
  <si>
    <t>MONTH_OVERDUE_A45</t>
  </si>
  <si>
    <t>Максимальная сумма просрочек по всем его кредитам за 46 месяцев до расчетной даты</t>
  </si>
  <si>
    <t>MONTH_OVERDUE_A46</t>
  </si>
  <si>
    <t>Максимальная сумма просрочек по всем его кредитам за 47 месяцев до расчетной даты</t>
  </si>
  <si>
    <t>MONTH_OVERDUE_A47</t>
  </si>
  <si>
    <t>Максимальная сумма просрочек по всем его кредитам за 48 месяцев до расчетной даты</t>
  </si>
  <si>
    <t>MONTH_OVERDUE_A48</t>
  </si>
  <si>
    <t>Максимальная сумма просрочек по всем его кредитам за 49 месяцев до расчетной даты</t>
  </si>
  <si>
    <t>MONTH_OVERDUE_A49</t>
  </si>
  <si>
    <t>Максимальная сумма просрочек по всем его кредитам за 50 месяцев до расчетной даты</t>
  </si>
  <si>
    <t>MONTH_OVERDUE_A50</t>
  </si>
  <si>
    <t>Максимальная сумма просрочек по всем его кредитам за 51 месяцев до расчетной даты</t>
  </si>
  <si>
    <t>MONTH_OVERDUE_A51</t>
  </si>
  <si>
    <t>Максимальная сумма просрочек по всем его кредитам за 52 месяцев до расчетной даты</t>
  </si>
  <si>
    <t>MONTH_OVERDUE_A52</t>
  </si>
  <si>
    <t>Максимальная сумма просрочек по всем его кредитам за 53 месяцев до расчетной даты</t>
  </si>
  <si>
    <t>MONTH_OVERDUE_A53</t>
  </si>
  <si>
    <t>Максимальная сумма просрочек по всем его кредитам за 54 месяцев до расчетной даты</t>
  </si>
  <si>
    <t>MONTH_OVERDUE_A54</t>
  </si>
  <si>
    <t>Максимальная сумма просрочек по всем его кредитам за 55 месяцев до расчетной даты</t>
  </si>
  <si>
    <t>MONTH_OVERDUE_A55</t>
  </si>
  <si>
    <t>Максимальная сумма просрочек по всем его кредитам за 56 месяцев до расчетной даты</t>
  </si>
  <si>
    <t>MONTH_OVERDUE_A56</t>
  </si>
  <si>
    <t>Максимальная сумма просрочек по всем его кредитам за 57 месяцев до расчетной даты</t>
  </si>
  <si>
    <t>MONTH_OVERDUE_A57</t>
  </si>
  <si>
    <t>Максимальная сумма просрочек по всем его кредитам за 58 месяцев до расчетной даты</t>
  </si>
  <si>
    <t>MONTH_OVERDUE_A58</t>
  </si>
  <si>
    <t>Максимальная сумма просрочек по всем его кредитам за 59 месяцев до расчетной даты</t>
  </si>
  <si>
    <t>MONTH_OVERDUE_A59</t>
  </si>
  <si>
    <t>Максимальная сумма просрочек по всем его кредитам за 60 месяцев до расчетной даты</t>
  </si>
  <si>
    <t>NUM_ADDRESSES</t>
  </si>
  <si>
    <t>Количество адресов субъекта</t>
  </si>
  <si>
    <t>NUM_PHONENUMBERS</t>
  </si>
  <si>
    <t>Количество телефонных номеров субъекта</t>
  </si>
  <si>
    <t>NUM_CONTRACTS</t>
  </si>
  <si>
    <t>TOTALAMOUNT_MIN</t>
  </si>
  <si>
    <t>TOTALAMOUNT_MAX</t>
  </si>
  <si>
    <t>NUM_CONTRACTS_INS</t>
  </si>
  <si>
    <t>NUM_CONTRACTS_NIN</t>
  </si>
  <si>
    <t>NUM_CONTRACTS_OTHER</t>
  </si>
  <si>
    <t>NUM_CONTRACTS_FOR</t>
  </si>
  <si>
    <t>NUM_MONTH_BTW_LAST_CONTRACTS</t>
  </si>
  <si>
    <t>NUM_MONTH_FROM_START_MAX</t>
  </si>
  <si>
    <t>NUM_MONTH_FROM_START_MIN</t>
  </si>
  <si>
    <t>NUM_CONTRACTS_STARTED_L3M</t>
  </si>
  <si>
    <t>NUM_CONTRACTS_STARTED_L6M</t>
  </si>
  <si>
    <t>NUM_CONTRACTS_STARTED_L12M</t>
  </si>
  <si>
    <t>NUM_CONTRACTS_STARTED_L7_12M</t>
  </si>
  <si>
    <t>AS3M</t>
  </si>
  <si>
    <t>Среднемесячная чистая ЗП за 3 мес. предшедствующих месяцу перед расчетной дате, тнг</t>
  </si>
  <si>
    <t>outstandingamount</t>
  </si>
  <si>
    <t>Задолженность</t>
  </si>
  <si>
    <t>overdueamount</t>
  </si>
  <si>
    <t>Просроченная задолженность</t>
  </si>
  <si>
    <t>instalmentamount</t>
  </si>
  <si>
    <t>loans</t>
  </si>
  <si>
    <t>количество займов</t>
  </si>
  <si>
    <t>frequency</t>
  </si>
  <si>
    <t>Frequency (от англ. частота) — с какой периодичностью клиенты обращаются за вашими товарами или услугами.</t>
  </si>
  <si>
    <t>monetary</t>
  </si>
  <si>
    <t>Monetary (от англ. деньги) — сколько всего у вас тратят.</t>
  </si>
  <si>
    <t>recency</t>
  </si>
  <si>
    <t>Recency (от англ. давность) — этот показатель демонстрирует, как давно клиенты приобретали ваши товары или пользовались вашими услугами.</t>
  </si>
  <si>
    <t>rfm_score</t>
  </si>
  <si>
    <t>балл по маркетинговой модели RFM</t>
  </si>
  <si>
    <t>DTI3M</t>
  </si>
  <si>
    <t>Коэффициент долговой нагрузки заёмщика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</si>
</sst>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Font="1" applyBorder="1"/>
    <xf numFmtId="0" fontId="0" fillId="0" borderId="0" xfId="0" applyFill="1"/>
    <xf numFmtId="0" fontId="1" fillId="0" borderId="1" xfId="1" applyNumberFormat="1" applyFont="1" applyFill="1" applyBorder="1" applyAlignment="1"/>
    <xf numFmtId="0" fontId="1" fillId="0" borderId="1" xfId="1" applyNumberFormat="1" applyFont="1" applyBorder="1" applyAlignment="1"/>
    <xf numFmtId="0" fontId="2" fillId="0" borderId="1" xfId="1" applyNumberFormat="1" applyFont="1" applyBorder="1" applyAlignment="1"/>
  </cellXfs>
  <cellStyles count="2">
    <cellStyle name="Обычный" xfId="0" builtinId="0"/>
    <cellStyle name="Обычный 2" xfId="1" xr:uid="{C33B1B84-0467-4D78-83F8-200640E42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4;&#1087;&#1080;&#1089;&#1077;&#1085;&#1080;&#1077;%20&#1087;&#1077;&#1088;&#1077;&#1084;&#1077;&#1085;&#1085;&#1099;&#10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Описание переменных"/>
      <sheetName val="Features"/>
    </sheetNames>
    <sheetDataSet>
      <sheetData sheetId="0"/>
      <sheetData sheetId="1"/>
      <sheetData sheetId="2">
        <row r="2">
          <cell r="A2" t="str">
            <v>providerid</v>
          </cell>
          <cell r="B2" t="str">
            <v>Уникальный номер провайдера</v>
          </cell>
        </row>
        <row r="3">
          <cell r="A3" t="str">
            <v>term</v>
          </cell>
          <cell r="B3" t="str">
            <v>Продолжительность контракта при выдаче, дни</v>
          </cell>
        </row>
        <row r="4">
          <cell r="A4" t="str">
            <v>total_amount_kzt</v>
          </cell>
          <cell r="B4" t="str">
            <v>Сумма контракта, KZT</v>
          </cell>
        </row>
        <row r="5">
          <cell r="A5" t="str">
            <v>overdueinstalmentcount_po_subektu</v>
          </cell>
          <cell r="B5" t="str">
            <v>Макс. кол-во дней просрочки за все время по всем текущим займам на момент выдачи</v>
          </cell>
        </row>
        <row r="7">
          <cell r="A7" t="str">
            <v>GENDER</v>
          </cell>
          <cell r="B7" t="str">
            <v>Пол заёмщика</v>
          </cell>
        </row>
        <row r="8">
          <cell r="A8" t="str">
            <v>AGE</v>
          </cell>
          <cell r="B8" t="str">
            <v>Число полных лет</v>
          </cell>
        </row>
        <row r="9">
          <cell r="A9" t="str">
            <v>TYPEID</v>
          </cell>
          <cell r="B9" t="str">
            <v>Юр. либо Физ. Лицо</v>
          </cell>
        </row>
        <row r="10">
          <cell r="A10" t="str">
            <v>CLASSIFICATION</v>
          </cell>
          <cell r="B10" t="str">
            <v>Классификация Физ лица</v>
          </cell>
        </row>
        <row r="11">
          <cell r="A11" t="str">
            <v>RESIDENCY</v>
          </cell>
          <cell r="B11" t="str">
            <v>Гражданство</v>
          </cell>
        </row>
        <row r="12">
          <cell r="A12" t="str">
            <v>EDUCATION</v>
          </cell>
          <cell r="B12" t="str">
            <v>Образование</v>
          </cell>
        </row>
        <row r="13">
          <cell r="A13" t="str">
            <v>MARITALSTATUS</v>
          </cell>
          <cell r="B13" t="str">
            <v>Семейное положение</v>
          </cell>
        </row>
        <row r="14">
          <cell r="A14" t="str">
            <v>NEGATIVESTATUS</v>
          </cell>
          <cell r="B14" t="str">
            <v>Негативный статус</v>
          </cell>
        </row>
        <row r="15">
          <cell r="A15" t="str">
            <v>PROFESSION</v>
          </cell>
          <cell r="B15" t="str">
            <v xml:space="preserve">Название профессии	</v>
          </cell>
        </row>
        <row r="16">
          <cell r="A16" t="str">
            <v>ECONOMYACTIVITYGROUP</v>
          </cell>
          <cell r="B16" t="str">
            <v>Отрасль экономики</v>
          </cell>
        </row>
        <row r="17">
          <cell r="A17" t="str">
            <v>EMPLOYMENTNATURE</v>
          </cell>
          <cell r="B17" t="str">
            <v>Вид деятельности</v>
          </cell>
        </row>
        <row r="18">
          <cell r="A18" t="str">
            <v>SALARY</v>
          </cell>
          <cell r="B18" t="str">
            <v xml:space="preserve">Заработная плата по данным БДКИ	</v>
          </cell>
        </row>
        <row r="19">
          <cell r="A19" t="str">
            <v>DEPENDANTS_LT18</v>
          </cell>
          <cell r="B19" t="str">
            <v>Количество иждивенцев до 18 лет</v>
          </cell>
        </row>
        <row r="20">
          <cell r="A20" t="str">
            <v>DEPENDANTS_GT18</v>
          </cell>
          <cell r="B20" t="str">
            <v>Количество иждивенцев старше 18 лет</v>
          </cell>
        </row>
        <row r="21">
          <cell r="A21" t="str">
            <v>AS3M</v>
          </cell>
          <cell r="B21" t="str">
            <v>Среднемесячная чистая ЗП за 3 мес. предшедствующих месяцу перед расчетной дате, тнг</v>
          </cell>
        </row>
        <row r="22">
          <cell r="A22" t="str">
            <v>instalmentamount</v>
          </cell>
          <cell r="B22" t="str">
            <v>Сумма платежей в  предыд. месяце  к расчетной дате по всем займам как заёмщика, тнг</v>
          </cell>
        </row>
        <row r="23">
          <cell r="A23" t="str">
            <v>DTI3M</v>
          </cell>
          <cell r="B23" t="str">
            <v>Коэффициент долговой нагрузки заёмщика</v>
          </cell>
        </row>
        <row r="24">
          <cell r="A24" t="str">
            <v>was_canceled</v>
          </cell>
          <cell r="B24" t="str">
            <v>Списывался у Физ.лица ли какой-либо займ до моменты выдачи текущего займа</v>
          </cell>
        </row>
        <row r="26">
          <cell r="A26" t="str">
            <v>NUM_ADDRESSES</v>
          </cell>
          <cell r="B26" t="str">
            <v>Количество адресов субъекта</v>
          </cell>
        </row>
        <row r="27">
          <cell r="A27" t="str">
            <v>NUM_PHONENUMBERS</v>
          </cell>
          <cell r="B27" t="str">
            <v>Количество телефонных номеров субъекта</v>
          </cell>
        </row>
        <row r="28">
          <cell r="A28" t="str">
            <v>NUM_COLLATERAL</v>
          </cell>
          <cell r="B28" t="str">
            <v>Количество залогового имущество за все время существования в БДКИ субъекта (до расчетной даты)</v>
          </cell>
        </row>
        <row r="30">
          <cell r="A30" t="str">
            <v>NUM_USAGES</v>
          </cell>
          <cell r="B30" t="str">
            <v>Количество запросов за все время существования в БДКИ субъекта (до расчетной даты)</v>
          </cell>
        </row>
        <row r="31">
          <cell r="A31" t="str">
            <v>CNT_3D</v>
          </cell>
          <cell r="B31" t="str">
            <v>Количество запросов за последние 3 дня до расчетной даты субъекта</v>
          </cell>
        </row>
        <row r="32">
          <cell r="A32" t="str">
            <v>CNT_7D</v>
          </cell>
          <cell r="B32" t="str">
            <v>Количество запросов за последние 7 дня до расчетной даты субъекта</v>
          </cell>
        </row>
        <row r="33">
          <cell r="A33" t="str">
            <v>CNT_1M</v>
          </cell>
          <cell r="B33" t="str">
            <v>Количество запросов за последние 1 месяцов до расчетной даты субъекта</v>
          </cell>
        </row>
        <row r="34">
          <cell r="A34" t="str">
            <v>CNT_3M</v>
          </cell>
          <cell r="B34" t="str">
            <v>Количество запросов за последние 3 месяцов до расчетной даты субъекта</v>
          </cell>
        </row>
        <row r="35">
          <cell r="A35" t="str">
            <v>CNT_6M</v>
          </cell>
          <cell r="B35" t="str">
            <v>Количество запросов за последние 6 месяцов до расчетной даты субъекта</v>
          </cell>
        </row>
        <row r="37">
          <cell r="A37" t="str">
            <v>NUM_CONTRACTS</v>
          </cell>
          <cell r="B37" t="str">
            <v>Общие количество контрактов заёмщика до расчетной даты</v>
          </cell>
        </row>
        <row r="38">
          <cell r="A38" t="str">
            <v>NUM_CONTRACT_BVU</v>
          </cell>
          <cell r="B38" t="str">
            <v>Кол-во контрактов заёмщика в БВУ до расчетной даты</v>
          </cell>
        </row>
        <row r="39">
          <cell r="A39" t="str">
            <v>NUM_CONTRACT_MFO</v>
          </cell>
          <cell r="B39" t="str">
            <v>Кол-во контрактов заёмщика в МФО до расчетной даты</v>
          </cell>
        </row>
        <row r="40">
          <cell r="A40" t="str">
            <v>NUM_CONTRACT_PDL</v>
          </cell>
          <cell r="B40" t="str">
            <v>Кол-во контрактов заёмщика в PDL до расчетной даты</v>
          </cell>
        </row>
        <row r="41">
          <cell r="A41" t="str">
            <v>NUM_CONTRACT_OTHERS</v>
          </cell>
          <cell r="B41" t="str">
            <v>Кол-во контрактов заёмщика в иных до расчетной даты</v>
          </cell>
        </row>
        <row r="43">
          <cell r="A43" t="str">
            <v>NUM_CONTRACTS_INS</v>
          </cell>
          <cell r="B43" t="str">
            <v>Количество контрактов виде рассрочки до расчетной даты, учитывая только заемщика</v>
          </cell>
        </row>
        <row r="44">
          <cell r="A44" t="str">
            <v>NUM_CONTRACTS_NIN</v>
          </cell>
          <cell r="B44" t="str">
            <v>Количество контрактов виде нон-рассрочки, кредит-контракты до расчетной даты, учитывая только заемщика</v>
          </cell>
        </row>
        <row r="45">
          <cell r="A45" t="str">
            <v>NUM_CONTRACTS_OTHER</v>
          </cell>
          <cell r="B45" t="str">
            <v>Количество контрактов виде страховки до расчетной даты, учитывая только заемщика</v>
          </cell>
        </row>
        <row r="46">
          <cell r="A46" t="str">
            <v>NUM_CONTRACTS_FOR</v>
          </cell>
          <cell r="B46" t="str">
            <v>Количество контрактов в иностранной валюте до расчетной даты, учитывая только заемщика</v>
          </cell>
        </row>
        <row r="48">
          <cell r="A48" t="str">
            <v>NUM_MONTH_BTW_LAST_CONTRACTS</v>
          </cell>
          <cell r="B48" t="str">
            <v>Количество месяцев между последним и пред-последним контрактом заёмщика</v>
          </cell>
        </row>
        <row r="49">
          <cell r="A49" t="str">
            <v>NUM_MONTH_FROM_START_MAX</v>
          </cell>
          <cell r="B49" t="str">
            <v xml:space="preserve">Количество месяцев от первого контракта заёмщика до расчетной даты </v>
          </cell>
        </row>
        <row r="50">
          <cell r="A50" t="str">
            <v>NUM_MONTH_FROM_START_MIN</v>
          </cell>
          <cell r="B50" t="str">
            <v>Количество месяцев от последнего контракта заёмщика до расчетной даты</v>
          </cell>
        </row>
        <row r="52">
          <cell r="A52" t="str">
            <v>NUM_CONTRACTS_STARTED_L3M</v>
          </cell>
          <cell r="B52" t="str">
            <v>Количество контрактов заёмщика за 3 мес. до расчетной даты</v>
          </cell>
        </row>
        <row r="53">
          <cell r="A53" t="str">
            <v>NUM_CONTRACTS_STARTED_L6M</v>
          </cell>
          <cell r="B53" t="str">
            <v>Количество контрактов заёмщика за 6 мес. до расчетной даты</v>
          </cell>
        </row>
        <row r="54">
          <cell r="A54" t="str">
            <v>NUM_CONTRACTS_STARTED_L12M</v>
          </cell>
          <cell r="B54" t="str">
            <v>Количество контрактов заёмщика за 12 мес. до расчетной даты</v>
          </cell>
        </row>
        <row r="55">
          <cell r="A55" t="str">
            <v>NUM_CONTRACTS_STARTED_L7_12M</v>
          </cell>
          <cell r="B55" t="str">
            <v>Количество контрактов заёмщика за от 6 до 12 мес. до расчетной даты</v>
          </cell>
        </row>
        <row r="57">
          <cell r="A57" t="str">
            <v>MONTH_OVERDUE_C0-C59</v>
          </cell>
          <cell r="B57" t="str">
            <v>Максимальное количество просрочек по всем его кредитам за месяцы до расчетной даты</v>
          </cell>
        </row>
        <row r="58">
          <cell r="A58" t="str">
            <v>MONTH_OVERDUE_A0-A59</v>
          </cell>
          <cell r="B58" t="str">
            <v>Максимальная сумма просрочек по всем его кредитам за месяцы до расчетной даты</v>
          </cell>
        </row>
        <row r="60">
          <cell r="A60" t="str">
            <v>TOTALAMOUNT_MIN</v>
          </cell>
          <cell r="B60" t="str">
            <v>Минимальная величина активного займа в тенге до расчетной даты, учитывая созаемщика и заемщика</v>
          </cell>
        </row>
        <row r="61">
          <cell r="A61" t="str">
            <v>TOTALAMOUNT_MAX</v>
          </cell>
          <cell r="B61" t="str">
            <v>Максимальная величина активного займа в тенге до расчетной даты, учитывая созаемщика и заемщика</v>
          </cell>
        </row>
        <row r="63">
          <cell r="A63" t="str">
            <v>MAX_PEAKS_OVERDUECOUNT_LAST_2Y</v>
          </cell>
          <cell r="B63" t="str">
            <v>Максимальное количество пиков (т. е. начало и конец пика строго равно 0) среди всех контрактов субъекта за два года до расчетной даты</v>
          </cell>
        </row>
        <row r="64">
          <cell r="A64" t="str">
            <v>MEAN_PEAKS_OVERDUECOUNT_LAST_2Y</v>
          </cell>
          <cell r="B64" t="str">
            <v>Среднее количество пиков по всем контрактам субъекта за два года до расчетной даты</v>
          </cell>
        </row>
        <row r="65">
          <cell r="A65" t="str">
            <v>SUM_PEAKS_OVERDUECOUNT_LAST_2Y</v>
          </cell>
          <cell r="B65" t="str">
            <v>Сумма всех пиков субъекта по каждым контрактом за последние два года до расчетной даты</v>
          </cell>
        </row>
        <row r="66">
          <cell r="A66" t="str">
            <v>MAX_SIG_PEAKS_OVERDUECOUNT_LAST_2Y</v>
          </cell>
          <cell r="B66" t="str">
            <v xml:space="preserve">Максимальное количество взвешенных пиков(т. е. начало и конец пика строго равно 0) среди всех контрактов субъекта за последние два года до расчетной даты, то есть в одном контракте могут быть несколько пиков </v>
          </cell>
        </row>
        <row r="67">
          <cell r="A67" t="str">
            <v>MEAN_SIG_PEAKS_OVERDUECOUNT_LAST_2Y</v>
          </cell>
          <cell r="B67" t="str">
            <v xml:space="preserve">Среднее количество взвешенных пиков по всем контрактам субъекта за два года до расчетной даты, т.е. в одном контракте субъекта могут быть несколько пиков </v>
          </cell>
        </row>
        <row r="68">
          <cell r="A68" t="str">
            <v>SUM_SIG_PEAKS_OVERDUECOUNT_LAST_2Y</v>
          </cell>
          <cell r="B68" t="str">
            <v>Сумма всех взвешенных пиков субъекта по каждым контрактом за два года до расчетной даты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5AD5-9FC5-4D6A-BB9C-B56C23FDA35B}">
  <dimension ref="A1:B178"/>
  <sheetViews>
    <sheetView tabSelected="1" workbookViewId="0">
      <selection activeCell="B10" sqref="B10"/>
    </sheetView>
  </sheetViews>
  <sheetFormatPr defaultRowHeight="15" x14ac:dyDescent="0.25"/>
  <cols>
    <col min="1" max="1" width="41.7109375" bestFit="1" customWidth="1"/>
    <col min="2" max="2" width="15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tr">
        <f>VLOOKUP(A4,[1]Features!$A$2:$B$68,2,FALSE)</f>
        <v>Продолжительность контракта при выдаче, дни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s="1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tr">
        <f>VLOOKUP(A19,[1]Features!$A$2:$B$68,2,FALSE)</f>
        <v>Кол-во контрактов заёмщика в БВУ до расчетной даты</v>
      </c>
    </row>
    <row r="20" spans="1:2" x14ac:dyDescent="0.25">
      <c r="A20" t="s">
        <v>36</v>
      </c>
      <c r="B20" t="str">
        <f>VLOOKUP(A20,[1]Features!$A$2:$B$68,2,FALSE)</f>
        <v>Кол-во контрактов заёмщика в МФО до расчетной даты</v>
      </c>
    </row>
    <row r="21" spans="1:2" x14ac:dyDescent="0.25">
      <c r="A21" t="s">
        <v>37</v>
      </c>
      <c r="B21" t="str">
        <f>VLOOKUP(A21,[1]Features!$A$2:$B$68,2,FALSE)</f>
        <v>Кол-во контрактов заёмщика в PDL до расчетной даты</v>
      </c>
    </row>
    <row r="22" spans="1:2" x14ac:dyDescent="0.25">
      <c r="A22" t="s">
        <v>38</v>
      </c>
      <c r="B22" t="str">
        <f>VLOOKUP(A22,[1]Features!$A$2:$B$68,2,FALSE)</f>
        <v>Кол-во контрактов заёмщика в иных до расчетной даты</v>
      </c>
    </row>
    <row r="23" spans="1:2" x14ac:dyDescent="0.25">
      <c r="A23" t="s">
        <v>39</v>
      </c>
      <c r="B23" t="str">
        <f>VLOOKUP(A23,[1]Features!$A$2:$B$68,2,FALSE)</f>
        <v>Количество залогового имущество за все время существования в БДКИ субъекта (до расчетной даты)</v>
      </c>
    </row>
    <row r="24" spans="1:2" x14ac:dyDescent="0.25">
      <c r="A24" t="s">
        <v>40</v>
      </c>
      <c r="B24" t="str">
        <f>VLOOKUP(A24,[1]Features!$A$2:$B$68,2,FALSE)</f>
        <v>Количество запросов за все время существования в БДКИ субъекта (до расчетной даты)</v>
      </c>
    </row>
    <row r="25" spans="1:2" x14ac:dyDescent="0.25">
      <c r="A25" t="s">
        <v>41</v>
      </c>
      <c r="B25" t="str">
        <f>VLOOKUP(A25,[1]Features!$A$2:$B$68,2,FALSE)</f>
        <v>Количество запросов за последние 3 дня до расчетной даты субъекта</v>
      </c>
    </row>
    <row r="26" spans="1:2" x14ac:dyDescent="0.25">
      <c r="A26" t="s">
        <v>42</v>
      </c>
      <c r="B26" t="str">
        <f>VLOOKUP(A26,[1]Features!$A$2:$B$68,2,FALSE)</f>
        <v>Количество запросов за последние 1 месяцов до расчетной даты субъекта</v>
      </c>
    </row>
    <row r="27" spans="1:2" x14ac:dyDescent="0.25">
      <c r="A27" t="s">
        <v>43</v>
      </c>
      <c r="B27" t="str">
        <f>VLOOKUP(A27,[1]Features!$A$2:$B$68,2,FALSE)</f>
        <v>Количество запросов за последние 3 месяцов до расчетной даты субъекта</v>
      </c>
    </row>
    <row r="28" spans="1:2" x14ac:dyDescent="0.25">
      <c r="A28" t="s">
        <v>44</v>
      </c>
      <c r="B28" t="str">
        <f>VLOOKUP(A28,[1]Features!$A$2:$B$68,2,FALSE)</f>
        <v>Количество запросов за последние 6 месяцов до расчетной даты субъекта</v>
      </c>
    </row>
    <row r="29" spans="1:2" x14ac:dyDescent="0.25">
      <c r="A29" s="2" t="s">
        <v>45</v>
      </c>
      <c r="B29" t="str">
        <f>VLOOKUP(A29,[1]Features!$A$2:$B$68,2,FALSE)</f>
        <v>Максимальное количество пиков (т. е. начало и конец пика строго равно 0) среди всех контрактов субъекта за два года до расчетной даты</v>
      </c>
    </row>
    <row r="30" spans="1:2" x14ac:dyDescent="0.25">
      <c r="A30" s="2" t="s">
        <v>46</v>
      </c>
      <c r="B30" t="str">
        <f>VLOOKUP(A30,[1]Features!$A$2:$B$68,2,FALSE)</f>
        <v>Среднее количество пиков по всем контрактам субъекта за два года до расчетной даты</v>
      </c>
    </row>
    <row r="31" spans="1:2" x14ac:dyDescent="0.25">
      <c r="A31" s="2" t="s">
        <v>47</v>
      </c>
      <c r="B31" t="str">
        <f>VLOOKUP(A31,[1]Features!$A$2:$B$68,2,FALSE)</f>
        <v xml:space="preserve">Среднее количество взвешенных пиков по всем контрактам субъекта за два года до расчетной даты, т.е. в одном контракте субъекта могут быть несколько пиков </v>
      </c>
    </row>
    <row r="32" spans="1:2" x14ac:dyDescent="0.25">
      <c r="A32" s="2" t="s">
        <v>48</v>
      </c>
      <c r="B32" t="str">
        <f>VLOOKUP(A32,[1]Features!$A$2:$B$68,2,FALSE)</f>
        <v>Сумма всех взвешенных пиков субъекта по каждым контрактом за два года до расчетной даты</v>
      </c>
    </row>
    <row r="33" spans="1:2" x14ac:dyDescent="0.25">
      <c r="A33" t="s">
        <v>49</v>
      </c>
      <c r="B33" t="s">
        <v>50</v>
      </c>
    </row>
    <row r="34" spans="1:2" x14ac:dyDescent="0.25">
      <c r="A34" t="s">
        <v>51</v>
      </c>
      <c r="B34" t="s">
        <v>52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55</v>
      </c>
      <c r="B36" t="s">
        <v>56</v>
      </c>
    </row>
    <row r="37" spans="1:2" x14ac:dyDescent="0.25">
      <c r="A37" t="s">
        <v>57</v>
      </c>
      <c r="B37" t="s">
        <v>58</v>
      </c>
    </row>
    <row r="38" spans="1:2" x14ac:dyDescent="0.25">
      <c r="A38" t="s">
        <v>59</v>
      </c>
      <c r="B38" t="s">
        <v>60</v>
      </c>
    </row>
    <row r="39" spans="1:2" x14ac:dyDescent="0.25">
      <c r="A39" t="s">
        <v>61</v>
      </c>
      <c r="B39" t="s">
        <v>62</v>
      </c>
    </row>
    <row r="40" spans="1:2" x14ac:dyDescent="0.25">
      <c r="A40" t="s">
        <v>63</v>
      </c>
      <c r="B40" t="s">
        <v>64</v>
      </c>
    </row>
    <row r="41" spans="1:2" x14ac:dyDescent="0.25">
      <c r="A41" t="s">
        <v>65</v>
      </c>
      <c r="B41" t="s">
        <v>66</v>
      </c>
    </row>
    <row r="42" spans="1:2" x14ac:dyDescent="0.25">
      <c r="A42" t="s">
        <v>67</v>
      </c>
      <c r="B42" t="s">
        <v>68</v>
      </c>
    </row>
    <row r="43" spans="1:2" x14ac:dyDescent="0.25">
      <c r="A43" t="s">
        <v>69</v>
      </c>
      <c r="B43" t="s">
        <v>70</v>
      </c>
    </row>
    <row r="44" spans="1:2" x14ac:dyDescent="0.25">
      <c r="A44" t="s">
        <v>71</v>
      </c>
      <c r="B44" t="s">
        <v>72</v>
      </c>
    </row>
    <row r="45" spans="1:2" x14ac:dyDescent="0.25">
      <c r="A45" t="s">
        <v>73</v>
      </c>
      <c r="B45" t="s">
        <v>74</v>
      </c>
    </row>
    <row r="46" spans="1:2" x14ac:dyDescent="0.25">
      <c r="A46" t="s">
        <v>75</v>
      </c>
      <c r="B46" t="s">
        <v>76</v>
      </c>
    </row>
    <row r="47" spans="1:2" x14ac:dyDescent="0.25">
      <c r="A47" t="s">
        <v>77</v>
      </c>
      <c r="B47" t="s">
        <v>78</v>
      </c>
    </row>
    <row r="48" spans="1:2" x14ac:dyDescent="0.25">
      <c r="A48" t="s">
        <v>79</v>
      </c>
      <c r="B48" t="s">
        <v>80</v>
      </c>
    </row>
    <row r="49" spans="1:2" x14ac:dyDescent="0.25">
      <c r="A49" t="s">
        <v>81</v>
      </c>
      <c r="B49" t="s">
        <v>82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87</v>
      </c>
      <c r="B52" t="s">
        <v>88</v>
      </c>
    </row>
    <row r="53" spans="1:2" x14ac:dyDescent="0.25">
      <c r="A53" t="s">
        <v>89</v>
      </c>
      <c r="B53" t="s">
        <v>90</v>
      </c>
    </row>
    <row r="54" spans="1:2" x14ac:dyDescent="0.25">
      <c r="A54" t="s">
        <v>91</v>
      </c>
      <c r="B54" t="s">
        <v>92</v>
      </c>
    </row>
    <row r="55" spans="1:2" x14ac:dyDescent="0.25">
      <c r="A55" t="s">
        <v>93</v>
      </c>
      <c r="B55" t="s">
        <v>94</v>
      </c>
    </row>
    <row r="56" spans="1:2" x14ac:dyDescent="0.25">
      <c r="A56" t="s">
        <v>95</v>
      </c>
      <c r="B56" t="s">
        <v>96</v>
      </c>
    </row>
    <row r="57" spans="1:2" x14ac:dyDescent="0.25">
      <c r="A57" t="s">
        <v>97</v>
      </c>
      <c r="B57" t="s">
        <v>98</v>
      </c>
    </row>
    <row r="58" spans="1:2" x14ac:dyDescent="0.25">
      <c r="A58" t="s">
        <v>99</v>
      </c>
      <c r="B58" t="s">
        <v>100</v>
      </c>
    </row>
    <row r="59" spans="1:2" x14ac:dyDescent="0.25">
      <c r="A59" t="s">
        <v>101</v>
      </c>
      <c r="B59" t="s">
        <v>102</v>
      </c>
    </row>
    <row r="60" spans="1:2" x14ac:dyDescent="0.25">
      <c r="A60" t="s">
        <v>103</v>
      </c>
      <c r="B60" t="s">
        <v>104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108</v>
      </c>
    </row>
    <row r="63" spans="1:2" x14ac:dyDescent="0.25">
      <c r="A63" t="s">
        <v>109</v>
      </c>
      <c r="B63" t="s">
        <v>110</v>
      </c>
    </row>
    <row r="64" spans="1:2" x14ac:dyDescent="0.25">
      <c r="A64" t="s">
        <v>111</v>
      </c>
      <c r="B64" t="s">
        <v>112</v>
      </c>
    </row>
    <row r="65" spans="1:2" x14ac:dyDescent="0.25">
      <c r="A65" t="s">
        <v>113</v>
      </c>
      <c r="B65" t="s">
        <v>114</v>
      </c>
    </row>
    <row r="66" spans="1:2" x14ac:dyDescent="0.25">
      <c r="A66" t="s">
        <v>115</v>
      </c>
      <c r="B66" t="s">
        <v>116</v>
      </c>
    </row>
    <row r="67" spans="1:2" x14ac:dyDescent="0.25">
      <c r="A67" t="s">
        <v>117</v>
      </c>
      <c r="B67" t="s">
        <v>118</v>
      </c>
    </row>
    <row r="68" spans="1:2" x14ac:dyDescent="0.25">
      <c r="A68" t="s">
        <v>119</v>
      </c>
      <c r="B68" t="s">
        <v>120</v>
      </c>
    </row>
    <row r="69" spans="1:2" x14ac:dyDescent="0.25">
      <c r="A69" t="s">
        <v>121</v>
      </c>
      <c r="B69" t="s">
        <v>122</v>
      </c>
    </row>
    <row r="70" spans="1:2" x14ac:dyDescent="0.25">
      <c r="A70" t="s">
        <v>123</v>
      </c>
      <c r="B70" t="s">
        <v>124</v>
      </c>
    </row>
    <row r="71" spans="1:2" x14ac:dyDescent="0.25">
      <c r="A71" t="s">
        <v>125</v>
      </c>
      <c r="B71" t="s">
        <v>126</v>
      </c>
    </row>
    <row r="72" spans="1:2" x14ac:dyDescent="0.25">
      <c r="A72" t="s">
        <v>127</v>
      </c>
      <c r="B72" t="s">
        <v>128</v>
      </c>
    </row>
    <row r="73" spans="1:2" x14ac:dyDescent="0.25">
      <c r="A73" t="s">
        <v>129</v>
      </c>
      <c r="B73" t="s">
        <v>130</v>
      </c>
    </row>
    <row r="74" spans="1:2" x14ac:dyDescent="0.25">
      <c r="A74" t="s">
        <v>131</v>
      </c>
      <c r="B74" t="s">
        <v>132</v>
      </c>
    </row>
    <row r="75" spans="1:2" x14ac:dyDescent="0.25">
      <c r="A75" t="s">
        <v>133</v>
      </c>
      <c r="B75" t="s">
        <v>134</v>
      </c>
    </row>
    <row r="76" spans="1:2" x14ac:dyDescent="0.25">
      <c r="A76" t="s">
        <v>135</v>
      </c>
      <c r="B76" t="s">
        <v>136</v>
      </c>
    </row>
    <row r="77" spans="1:2" x14ac:dyDescent="0.25">
      <c r="A77" t="s">
        <v>137</v>
      </c>
      <c r="B77" t="s">
        <v>138</v>
      </c>
    </row>
    <row r="78" spans="1:2" x14ac:dyDescent="0.25">
      <c r="A78" t="s">
        <v>139</v>
      </c>
      <c r="B78" t="s">
        <v>140</v>
      </c>
    </row>
    <row r="79" spans="1:2" x14ac:dyDescent="0.25">
      <c r="A79" t="s">
        <v>141</v>
      </c>
      <c r="B79" t="s">
        <v>142</v>
      </c>
    </row>
    <row r="80" spans="1:2" x14ac:dyDescent="0.25">
      <c r="A80" t="s">
        <v>143</v>
      </c>
      <c r="B80" t="s">
        <v>144</v>
      </c>
    </row>
    <row r="81" spans="1:2" x14ac:dyDescent="0.25">
      <c r="A81" t="s">
        <v>145</v>
      </c>
      <c r="B81" t="s">
        <v>146</v>
      </c>
    </row>
    <row r="82" spans="1:2" x14ac:dyDescent="0.25">
      <c r="A82" t="s">
        <v>147</v>
      </c>
      <c r="B82" t="s">
        <v>148</v>
      </c>
    </row>
    <row r="83" spans="1:2" x14ac:dyDescent="0.25">
      <c r="A83" t="s">
        <v>149</v>
      </c>
      <c r="B83" t="s">
        <v>150</v>
      </c>
    </row>
    <row r="84" spans="1:2" x14ac:dyDescent="0.25">
      <c r="A84" t="s">
        <v>151</v>
      </c>
      <c r="B84" t="s">
        <v>152</v>
      </c>
    </row>
    <row r="85" spans="1:2" x14ac:dyDescent="0.25">
      <c r="A85" t="s">
        <v>153</v>
      </c>
      <c r="B85" t="s">
        <v>154</v>
      </c>
    </row>
    <row r="86" spans="1:2" x14ac:dyDescent="0.25">
      <c r="A86" t="s">
        <v>155</v>
      </c>
      <c r="B86" t="s">
        <v>156</v>
      </c>
    </row>
    <row r="87" spans="1:2" x14ac:dyDescent="0.25">
      <c r="A87" t="s">
        <v>157</v>
      </c>
      <c r="B87" t="s">
        <v>158</v>
      </c>
    </row>
    <row r="88" spans="1:2" x14ac:dyDescent="0.25">
      <c r="A88" t="s">
        <v>159</v>
      </c>
      <c r="B88" t="s">
        <v>160</v>
      </c>
    </row>
    <row r="89" spans="1:2" x14ac:dyDescent="0.25">
      <c r="A89" t="s">
        <v>161</v>
      </c>
      <c r="B89" t="s">
        <v>162</v>
      </c>
    </row>
    <row r="90" spans="1:2" x14ac:dyDescent="0.25">
      <c r="A90" t="s">
        <v>163</v>
      </c>
      <c r="B90" t="s">
        <v>164</v>
      </c>
    </row>
    <row r="91" spans="1:2" x14ac:dyDescent="0.25">
      <c r="A91" t="s">
        <v>165</v>
      </c>
      <c r="B91" t="s">
        <v>166</v>
      </c>
    </row>
    <row r="92" spans="1:2" x14ac:dyDescent="0.25">
      <c r="A92" t="s">
        <v>167</v>
      </c>
      <c r="B92" t="s">
        <v>168</v>
      </c>
    </row>
    <row r="93" spans="1:2" x14ac:dyDescent="0.25">
      <c r="A93" t="s">
        <v>169</v>
      </c>
      <c r="B93" t="s">
        <v>170</v>
      </c>
    </row>
    <row r="94" spans="1:2" x14ac:dyDescent="0.25">
      <c r="A94" t="s">
        <v>171</v>
      </c>
      <c r="B94" t="s">
        <v>172</v>
      </c>
    </row>
    <row r="95" spans="1:2" x14ac:dyDescent="0.25">
      <c r="A95" t="s">
        <v>173</v>
      </c>
      <c r="B95" t="s">
        <v>174</v>
      </c>
    </row>
    <row r="96" spans="1:2" x14ac:dyDescent="0.25">
      <c r="A96" t="s">
        <v>175</v>
      </c>
      <c r="B96" t="s">
        <v>176</v>
      </c>
    </row>
    <row r="97" spans="1:2" x14ac:dyDescent="0.25">
      <c r="A97" t="s">
        <v>177</v>
      </c>
      <c r="B97" t="s">
        <v>178</v>
      </c>
    </row>
    <row r="98" spans="1:2" x14ac:dyDescent="0.25">
      <c r="A98" t="s">
        <v>179</v>
      </c>
      <c r="B98" t="s">
        <v>180</v>
      </c>
    </row>
    <row r="99" spans="1:2" x14ac:dyDescent="0.25">
      <c r="A99" t="s">
        <v>181</v>
      </c>
      <c r="B99" t="s">
        <v>182</v>
      </c>
    </row>
    <row r="100" spans="1:2" x14ac:dyDescent="0.25">
      <c r="A100" t="s">
        <v>183</v>
      </c>
      <c r="B100" t="s">
        <v>184</v>
      </c>
    </row>
    <row r="101" spans="1:2" x14ac:dyDescent="0.25">
      <c r="A101" t="s">
        <v>185</v>
      </c>
      <c r="B101" t="s">
        <v>186</v>
      </c>
    </row>
    <row r="102" spans="1:2" x14ac:dyDescent="0.25">
      <c r="A102" t="s">
        <v>187</v>
      </c>
      <c r="B102" t="s">
        <v>188</v>
      </c>
    </row>
    <row r="103" spans="1:2" x14ac:dyDescent="0.25">
      <c r="A103" t="s">
        <v>189</v>
      </c>
      <c r="B103" t="s">
        <v>190</v>
      </c>
    </row>
    <row r="104" spans="1:2" x14ac:dyDescent="0.25">
      <c r="A104" t="s">
        <v>191</v>
      </c>
      <c r="B104" t="s">
        <v>192</v>
      </c>
    </row>
    <row r="105" spans="1:2" x14ac:dyDescent="0.25">
      <c r="A105" t="s">
        <v>193</v>
      </c>
      <c r="B105" t="s">
        <v>194</v>
      </c>
    </row>
    <row r="106" spans="1:2" x14ac:dyDescent="0.25">
      <c r="A106" t="s">
        <v>195</v>
      </c>
      <c r="B106" t="s">
        <v>196</v>
      </c>
    </row>
    <row r="107" spans="1:2" x14ac:dyDescent="0.25">
      <c r="A107" t="s">
        <v>197</v>
      </c>
      <c r="B107" t="s">
        <v>198</v>
      </c>
    </row>
    <row r="108" spans="1:2" x14ac:dyDescent="0.25">
      <c r="A108" t="s">
        <v>199</v>
      </c>
      <c r="B108" t="s">
        <v>200</v>
      </c>
    </row>
    <row r="109" spans="1:2" x14ac:dyDescent="0.25">
      <c r="A109" t="s">
        <v>201</v>
      </c>
      <c r="B109" t="s">
        <v>202</v>
      </c>
    </row>
    <row r="110" spans="1:2" x14ac:dyDescent="0.25">
      <c r="A110" t="s">
        <v>203</v>
      </c>
      <c r="B110" t="s">
        <v>204</v>
      </c>
    </row>
    <row r="111" spans="1:2" x14ac:dyDescent="0.25">
      <c r="A111" t="s">
        <v>205</v>
      </c>
      <c r="B111" t="s">
        <v>206</v>
      </c>
    </row>
    <row r="112" spans="1:2" x14ac:dyDescent="0.25">
      <c r="A112" t="s">
        <v>207</v>
      </c>
      <c r="B112" t="s">
        <v>208</v>
      </c>
    </row>
    <row r="113" spans="1:2" x14ac:dyDescent="0.25">
      <c r="A113" t="s">
        <v>209</v>
      </c>
      <c r="B113" t="s">
        <v>210</v>
      </c>
    </row>
    <row r="114" spans="1:2" x14ac:dyDescent="0.25">
      <c r="A114" t="s">
        <v>211</v>
      </c>
      <c r="B114" t="s">
        <v>212</v>
      </c>
    </row>
    <row r="115" spans="1:2" x14ac:dyDescent="0.25">
      <c r="A115" t="s">
        <v>213</v>
      </c>
      <c r="B115" t="s">
        <v>214</v>
      </c>
    </row>
    <row r="116" spans="1:2" x14ac:dyDescent="0.25">
      <c r="A116" t="s">
        <v>215</v>
      </c>
      <c r="B116" t="s">
        <v>216</v>
      </c>
    </row>
    <row r="117" spans="1:2" x14ac:dyDescent="0.25">
      <c r="A117" t="s">
        <v>217</v>
      </c>
      <c r="B117" t="s">
        <v>218</v>
      </c>
    </row>
    <row r="118" spans="1:2" x14ac:dyDescent="0.25">
      <c r="A118" t="s">
        <v>219</v>
      </c>
      <c r="B118" t="s">
        <v>220</v>
      </c>
    </row>
    <row r="119" spans="1:2" x14ac:dyDescent="0.25">
      <c r="A119" t="s">
        <v>221</v>
      </c>
      <c r="B119" t="s">
        <v>222</v>
      </c>
    </row>
    <row r="120" spans="1:2" x14ac:dyDescent="0.25">
      <c r="A120" t="s">
        <v>223</v>
      </c>
      <c r="B120" t="s">
        <v>224</v>
      </c>
    </row>
    <row r="121" spans="1:2" x14ac:dyDescent="0.25">
      <c r="A121" t="s">
        <v>225</v>
      </c>
      <c r="B121" t="s">
        <v>226</v>
      </c>
    </row>
    <row r="122" spans="1:2" x14ac:dyDescent="0.25">
      <c r="A122" t="s">
        <v>227</v>
      </c>
      <c r="B122" t="s">
        <v>228</v>
      </c>
    </row>
    <row r="123" spans="1:2" x14ac:dyDescent="0.25">
      <c r="A123" t="s">
        <v>229</v>
      </c>
      <c r="B123" t="s">
        <v>230</v>
      </c>
    </row>
    <row r="124" spans="1:2" x14ac:dyDescent="0.25">
      <c r="A124" t="s">
        <v>231</v>
      </c>
      <c r="B124" t="s">
        <v>232</v>
      </c>
    </row>
    <row r="125" spans="1:2" x14ac:dyDescent="0.25">
      <c r="A125" t="s">
        <v>233</v>
      </c>
      <c r="B125" t="s">
        <v>234</v>
      </c>
    </row>
    <row r="126" spans="1:2" x14ac:dyDescent="0.25">
      <c r="A126" t="s">
        <v>235</v>
      </c>
      <c r="B126" t="s">
        <v>236</v>
      </c>
    </row>
    <row r="127" spans="1:2" x14ac:dyDescent="0.25">
      <c r="A127" t="s">
        <v>237</v>
      </c>
      <c r="B127" t="s">
        <v>238</v>
      </c>
    </row>
    <row r="128" spans="1:2" x14ac:dyDescent="0.25">
      <c r="A128" t="s">
        <v>239</v>
      </c>
      <c r="B128" t="s">
        <v>240</v>
      </c>
    </row>
    <row r="129" spans="1:2" x14ac:dyDescent="0.25">
      <c r="A129" t="s">
        <v>241</v>
      </c>
      <c r="B129" t="s">
        <v>242</v>
      </c>
    </row>
    <row r="130" spans="1:2" x14ac:dyDescent="0.25">
      <c r="A130" t="s">
        <v>243</v>
      </c>
      <c r="B130" t="s">
        <v>244</v>
      </c>
    </row>
    <row r="131" spans="1:2" x14ac:dyDescent="0.25">
      <c r="A131" t="s">
        <v>245</v>
      </c>
      <c r="B131" t="s">
        <v>246</v>
      </c>
    </row>
    <row r="132" spans="1:2" x14ac:dyDescent="0.25">
      <c r="A132" t="s">
        <v>247</v>
      </c>
      <c r="B132" t="s">
        <v>248</v>
      </c>
    </row>
    <row r="133" spans="1:2" x14ac:dyDescent="0.25">
      <c r="A133" t="s">
        <v>249</v>
      </c>
      <c r="B133" t="s">
        <v>250</v>
      </c>
    </row>
    <row r="134" spans="1:2" x14ac:dyDescent="0.25">
      <c r="A134" t="s">
        <v>251</v>
      </c>
      <c r="B134" t="s">
        <v>252</v>
      </c>
    </row>
    <row r="135" spans="1:2" x14ac:dyDescent="0.25">
      <c r="A135" t="s">
        <v>253</v>
      </c>
      <c r="B135" t="s">
        <v>254</v>
      </c>
    </row>
    <row r="136" spans="1:2" x14ac:dyDescent="0.25">
      <c r="A136" t="s">
        <v>255</v>
      </c>
      <c r="B136" t="s">
        <v>256</v>
      </c>
    </row>
    <row r="137" spans="1:2" x14ac:dyDescent="0.25">
      <c r="A137" t="s">
        <v>257</v>
      </c>
      <c r="B137" t="s">
        <v>258</v>
      </c>
    </row>
    <row r="138" spans="1:2" x14ac:dyDescent="0.25">
      <c r="A138" t="s">
        <v>259</v>
      </c>
      <c r="B138" t="s">
        <v>260</v>
      </c>
    </row>
    <row r="139" spans="1:2" x14ac:dyDescent="0.25">
      <c r="A139" t="s">
        <v>261</v>
      </c>
      <c r="B139" t="s">
        <v>262</v>
      </c>
    </row>
    <row r="140" spans="1:2" x14ac:dyDescent="0.25">
      <c r="A140" t="s">
        <v>263</v>
      </c>
      <c r="B140" t="s">
        <v>264</v>
      </c>
    </row>
    <row r="141" spans="1:2" x14ac:dyDescent="0.25">
      <c r="A141" t="s">
        <v>265</v>
      </c>
      <c r="B141" t="s">
        <v>266</v>
      </c>
    </row>
    <row r="142" spans="1:2" x14ac:dyDescent="0.25">
      <c r="A142" t="s">
        <v>267</v>
      </c>
      <c r="B142" t="s">
        <v>268</v>
      </c>
    </row>
    <row r="143" spans="1:2" x14ac:dyDescent="0.25">
      <c r="A143" t="s">
        <v>269</v>
      </c>
      <c r="B143" t="s">
        <v>270</v>
      </c>
    </row>
    <row r="144" spans="1:2" x14ac:dyDescent="0.25">
      <c r="A144" t="s">
        <v>271</v>
      </c>
      <c r="B144" t="s">
        <v>272</v>
      </c>
    </row>
    <row r="145" spans="1:2" x14ac:dyDescent="0.25">
      <c r="A145" t="s">
        <v>273</v>
      </c>
      <c r="B145" t="s">
        <v>274</v>
      </c>
    </row>
    <row r="146" spans="1:2" x14ac:dyDescent="0.25">
      <c r="A146" t="s">
        <v>275</v>
      </c>
      <c r="B146" t="s">
        <v>276</v>
      </c>
    </row>
    <row r="147" spans="1:2" x14ac:dyDescent="0.25">
      <c r="A147" t="s">
        <v>277</v>
      </c>
      <c r="B147" t="s">
        <v>278</v>
      </c>
    </row>
    <row r="148" spans="1:2" x14ac:dyDescent="0.25">
      <c r="A148" t="s">
        <v>279</v>
      </c>
      <c r="B148" t="s">
        <v>280</v>
      </c>
    </row>
    <row r="149" spans="1:2" x14ac:dyDescent="0.25">
      <c r="A149" t="s">
        <v>281</v>
      </c>
      <c r="B149" t="s">
        <v>282</v>
      </c>
    </row>
    <row r="150" spans="1:2" x14ac:dyDescent="0.25">
      <c r="A150" t="s">
        <v>283</v>
      </c>
      <c r="B150" t="s">
        <v>284</v>
      </c>
    </row>
    <row r="151" spans="1:2" x14ac:dyDescent="0.25">
      <c r="A151" t="s">
        <v>285</v>
      </c>
      <c r="B151" t="s">
        <v>286</v>
      </c>
    </row>
    <row r="152" spans="1:2" x14ac:dyDescent="0.25">
      <c r="A152" t="s">
        <v>287</v>
      </c>
      <c r="B152" t="s">
        <v>288</v>
      </c>
    </row>
    <row r="153" spans="1:2" x14ac:dyDescent="0.25">
      <c r="A153" t="s">
        <v>289</v>
      </c>
      <c r="B153" s="3" t="s">
        <v>290</v>
      </c>
    </row>
    <row r="154" spans="1:2" x14ac:dyDescent="0.25">
      <c r="A154" t="s">
        <v>291</v>
      </c>
      <c r="B154" s="4" t="s">
        <v>292</v>
      </c>
    </row>
    <row r="155" spans="1:2" x14ac:dyDescent="0.25">
      <c r="A155" t="s">
        <v>293</v>
      </c>
      <c r="B155" t="str">
        <f>VLOOKUP(A155,[1]Features!$A$2:$B$68,2,FALSE)</f>
        <v>Общие количество контрактов заёмщика до расчетной даты</v>
      </c>
    </row>
    <row r="156" spans="1:2" x14ac:dyDescent="0.25">
      <c r="A156" t="s">
        <v>294</v>
      </c>
      <c r="B156" t="str">
        <f>VLOOKUP(A156,[1]Features!$A$2:$B$68,2,FALSE)</f>
        <v>Минимальная величина активного займа в тенге до расчетной даты, учитывая созаемщика и заемщика</v>
      </c>
    </row>
    <row r="157" spans="1:2" x14ac:dyDescent="0.25">
      <c r="A157" t="s">
        <v>295</v>
      </c>
      <c r="B157" t="str">
        <f>VLOOKUP(A157,[1]Features!$A$2:$B$68,2,FALSE)</f>
        <v>Максимальная величина активного займа в тенге до расчетной даты, учитывая созаемщика и заемщика</v>
      </c>
    </row>
    <row r="158" spans="1:2" x14ac:dyDescent="0.25">
      <c r="A158" t="s">
        <v>296</v>
      </c>
      <c r="B158" t="str">
        <f>VLOOKUP(A158,[1]Features!$A$2:$B$68,2,FALSE)</f>
        <v>Количество контрактов виде рассрочки до расчетной даты, учитывая только заемщика</v>
      </c>
    </row>
    <row r="159" spans="1:2" x14ac:dyDescent="0.25">
      <c r="A159" t="s">
        <v>297</v>
      </c>
      <c r="B159" t="str">
        <f>VLOOKUP(A159,[1]Features!$A$2:$B$68,2,FALSE)</f>
        <v>Количество контрактов виде нон-рассрочки, кредит-контракты до расчетной даты, учитывая только заемщика</v>
      </c>
    </row>
    <row r="160" spans="1:2" x14ac:dyDescent="0.25">
      <c r="A160" t="s">
        <v>298</v>
      </c>
      <c r="B160" t="str">
        <f>VLOOKUP(A160,[1]Features!$A$2:$B$68,2,FALSE)</f>
        <v>Количество контрактов виде страховки до расчетной даты, учитывая только заемщика</v>
      </c>
    </row>
    <row r="161" spans="1:2" x14ac:dyDescent="0.25">
      <c r="A161" t="s">
        <v>299</v>
      </c>
      <c r="B161" t="str">
        <f>VLOOKUP(A161,[1]Features!$A$2:$B$68,2,FALSE)</f>
        <v>Количество контрактов в иностранной валюте до расчетной даты, учитывая только заемщика</v>
      </c>
    </row>
    <row r="162" spans="1:2" x14ac:dyDescent="0.25">
      <c r="A162" t="s">
        <v>300</v>
      </c>
      <c r="B162" t="str">
        <f>VLOOKUP(A162,[1]Features!$A$2:$B$68,2,FALSE)</f>
        <v>Количество месяцев между последним и пред-последним контрактом заёмщика</v>
      </c>
    </row>
    <row r="163" spans="1:2" x14ac:dyDescent="0.25">
      <c r="A163" t="s">
        <v>301</v>
      </c>
      <c r="B163" t="str">
        <f>VLOOKUP(A163,[1]Features!$A$2:$B$68,2,FALSE)</f>
        <v xml:space="preserve">Количество месяцев от первого контракта заёмщика до расчетной даты </v>
      </c>
    </row>
    <row r="164" spans="1:2" x14ac:dyDescent="0.25">
      <c r="A164" t="s">
        <v>302</v>
      </c>
      <c r="B164" t="str">
        <f>VLOOKUP(A164,[1]Features!$A$2:$B$68,2,FALSE)</f>
        <v>Количество месяцев от последнего контракта заёмщика до расчетной даты</v>
      </c>
    </row>
    <row r="165" spans="1:2" x14ac:dyDescent="0.25">
      <c r="A165" t="s">
        <v>303</v>
      </c>
      <c r="B165" t="str">
        <f>VLOOKUP(A165,[1]Features!$A$2:$B$68,2,FALSE)</f>
        <v>Количество контрактов заёмщика за 3 мес. до расчетной даты</v>
      </c>
    </row>
    <row r="166" spans="1:2" x14ac:dyDescent="0.25">
      <c r="A166" t="s">
        <v>304</v>
      </c>
      <c r="B166" t="str">
        <f>VLOOKUP(A166,[1]Features!$A$2:$B$68,2,FALSE)</f>
        <v>Количество контрактов заёмщика за 6 мес. до расчетной даты</v>
      </c>
    </row>
    <row r="167" spans="1:2" x14ac:dyDescent="0.25">
      <c r="A167" t="s">
        <v>305</v>
      </c>
      <c r="B167" t="str">
        <f>VLOOKUP(A167,[1]Features!$A$2:$B$68,2,FALSE)</f>
        <v>Количество контрактов заёмщика за 12 мес. до расчетной даты</v>
      </c>
    </row>
    <row r="168" spans="1:2" x14ac:dyDescent="0.25">
      <c r="A168" t="s">
        <v>306</v>
      </c>
      <c r="B168" t="str">
        <f>VLOOKUP(A168,[1]Features!$A$2:$B$68,2,FALSE)</f>
        <v>Количество контрактов заёмщика за от 6 до 12 мес. до расчетной даты</v>
      </c>
    </row>
    <row r="169" spans="1:2" x14ac:dyDescent="0.25">
      <c r="A169" t="s">
        <v>307</v>
      </c>
      <c r="B169" s="5" t="s">
        <v>308</v>
      </c>
    </row>
    <row r="170" spans="1:2" x14ac:dyDescent="0.25">
      <c r="A170" t="s">
        <v>309</v>
      </c>
      <c r="B170" t="s">
        <v>310</v>
      </c>
    </row>
    <row r="171" spans="1:2" x14ac:dyDescent="0.25">
      <c r="A171" t="s">
        <v>311</v>
      </c>
      <c r="B171" t="s">
        <v>312</v>
      </c>
    </row>
    <row r="172" spans="1:2" x14ac:dyDescent="0.25">
      <c r="A172" t="s">
        <v>313</v>
      </c>
      <c r="B172" t="str">
        <f>VLOOKUP(A172,[1]Features!$A$2:$B$68,2,FALSE)</f>
        <v>Сумма платежей в  предыд. месяце  к расчетной дате по всем займам как заёмщика, тнг</v>
      </c>
    </row>
    <row r="173" spans="1:2" x14ac:dyDescent="0.25">
      <c r="A173" t="s">
        <v>314</v>
      </c>
      <c r="B173" t="s">
        <v>315</v>
      </c>
    </row>
    <row r="174" spans="1:2" x14ac:dyDescent="0.25">
      <c r="A174" t="s">
        <v>316</v>
      </c>
      <c r="B174" t="s">
        <v>317</v>
      </c>
    </row>
    <row r="175" spans="1:2" x14ac:dyDescent="0.25">
      <c r="A175" t="s">
        <v>318</v>
      </c>
      <c r="B175" t="s">
        <v>319</v>
      </c>
    </row>
    <row r="176" spans="1:2" x14ac:dyDescent="0.25">
      <c r="A176" t="s">
        <v>320</v>
      </c>
      <c r="B176" t="s">
        <v>321</v>
      </c>
    </row>
    <row r="177" spans="1:2" x14ac:dyDescent="0.25">
      <c r="A177" t="s">
        <v>322</v>
      </c>
      <c r="B177" t="s">
        <v>323</v>
      </c>
    </row>
    <row r="178" spans="1:2" x14ac:dyDescent="0.25">
      <c r="A178" t="s">
        <v>324</v>
      </c>
      <c r="B178" s="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Abay Smailov</dc:creator>
  <cp:lastModifiedBy>Abay Smailov</cp:lastModifiedBy>
  <dcterms:created xsi:type="dcterms:W3CDTF">2025-01-15T14:05:39Z</dcterms:created>
  <dcterms:modified xsi:type="dcterms:W3CDTF">2025-01-15T14:06:15Z</dcterms:modified>
</cp:coreProperties>
</file>